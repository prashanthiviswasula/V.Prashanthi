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Calcu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Total Transactions</t>
        </is>
      </c>
      <c r="B2" t="n">
        <v>100000</v>
      </c>
    </row>
    <row r="3">
      <c r="A3" t="inlineStr">
        <is>
          <t>Fraud Rate (%)</t>
        </is>
      </c>
      <c r="B3" t="n">
        <v>0.2</v>
      </c>
    </row>
    <row r="4">
      <c r="A4" t="inlineStr">
        <is>
          <t>Avg Fraud Loss per Transaction</t>
        </is>
      </c>
      <c r="B4" t="n">
        <v>2000</v>
      </c>
    </row>
    <row r="5">
      <c r="A5" t="inlineStr">
        <is>
          <t>Cost per Investigation</t>
        </is>
      </c>
      <c r="B5" t="n">
        <v>50</v>
      </c>
    </row>
    <row r="6">
      <c r="A6" t="inlineStr">
        <is>
          <t>Model Recall (%)</t>
        </is>
      </c>
      <c r="B6" t="n">
        <v>90</v>
      </c>
    </row>
    <row r="7">
      <c r="A7" t="inlineStr">
        <is>
          <t>Model Precision (%)</t>
        </is>
      </c>
      <c r="B7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Formula / Value</t>
        </is>
      </c>
    </row>
    <row r="2">
      <c r="A2" t="inlineStr">
        <is>
          <t>Total Fraud Transactions</t>
        </is>
      </c>
      <c r="B2">
        <f>Assumptions!B2*Assumptions!B3/100</f>
        <v/>
      </c>
    </row>
    <row r="3">
      <c r="A3" t="inlineStr">
        <is>
          <t>Detected Frauds (TP)</t>
        </is>
      </c>
      <c r="B3">
        <f>B2*Assumptions!B6/100</f>
        <v/>
      </c>
    </row>
    <row r="4">
      <c r="A4" t="inlineStr">
        <is>
          <t>Missed Frauds (FN)</t>
        </is>
      </c>
      <c r="B4">
        <f>B2-B3</f>
        <v/>
      </c>
    </row>
    <row r="5">
      <c r="A5" t="inlineStr">
        <is>
          <t>Total Alerts</t>
        </is>
      </c>
      <c r="B5">
        <f>B3/(Assumptions!B7/100)</f>
        <v/>
      </c>
    </row>
    <row r="6">
      <c r="A6" t="inlineStr">
        <is>
          <t>False Positives (FP)</t>
        </is>
      </c>
      <c r="B6">
        <f>B5-B3</f>
        <v/>
      </c>
    </row>
    <row r="7">
      <c r="A7" t="inlineStr">
        <is>
          <t>Savings from Fraud Detection</t>
        </is>
      </c>
      <c r="B7">
        <f>B3*Assumptions!B4</f>
        <v/>
      </c>
    </row>
    <row r="8">
      <c r="A8" t="inlineStr">
        <is>
          <t>Investigation Cost</t>
        </is>
      </c>
      <c r="B8">
        <f>B5*Assumptions!B5</f>
        <v/>
      </c>
    </row>
    <row r="9">
      <c r="A9" t="inlineStr">
        <is>
          <t>Net Benefit</t>
        </is>
      </c>
      <c r="B9">
        <f>B7-B8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2026-04-22T18:33:44Z</dcterms:created>
  <dcterms:modified xmlns:dcterms="http://purl.org/dc/terms/" xmlns:xsi="http://www.w3.org/2001/XMLSchema-instance" xsi:type="dcterms:W3CDTF">2026-04-22T18:33:44Z</dcterms:modified>
</cp:coreProperties>
</file>